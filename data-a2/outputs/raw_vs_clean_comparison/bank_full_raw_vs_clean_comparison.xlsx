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d94f8efdf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Quan" sheetId="1" r:id="R092e33435447455a"/>
    <x:sheet xmlns:r="http://schemas.openxmlformats.org/officeDocument/2006/relationships" name="XuLy" sheetId="2" r:id="R819a31de54334177"/>
    <x:sheet xmlns:r="http://schemas.openxmlformats.org/officeDocument/2006/relationships" name="Scaling" sheetId="3" r:id="R6038532e703e4363"/>
    <x:sheet xmlns:r="http://schemas.openxmlformats.org/officeDocument/2006/relationships" name="BieuDo" sheetId="4" r:id="Rd516c04591a745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.0%"/>
    <x:numFmt numFmtId="203" formatCode="0.00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173F5F"/>
      <x:name val="Carlito"/>
    </x:font>
    <x:font>
      <x:b/>
      <x:sz val="11"/>
      <x:color rgb="FFFFFFFF"/>
      <x:name val="Carlito"/>
    </x:font>
    <x:font>
      <x:b/>
      <x:sz val="11"/>
      <x:color rgb="FFC0392B"/>
      <x:name val="Carlito"/>
    </x:font>
    <x:font>
      <x:b/>
      <x:sz val="11"/>
      <x:color rgb="FF1F293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CEAF7"/>
      </x:patternFill>
    </x:fill>
    <x:fill>
      <x:patternFill patternType="solid">
        <x:fgColor rgb="FFF3F4F6"/>
      </x:patternFill>
    </x:fill>
    <x:fill>
      <x:patternFill patternType="solid">
        <x:fgColor rgb="FFF8FBFF"/>
      </x:patternFill>
    </x:fill>
    <x:fill>
      <x:patternFill patternType="solid">
        <x:fgColor rgb="FFFFF9F3"/>
      </x:patternFill>
    </x:fill>
    <x:fill>
      <x:patternFill patternType="solid">
        <x:fgColor rgb="FFF5FBF9"/>
      </x:patternFill>
    </x:fill>
    <x:fill>
      <x:patternFill patternType="solid">
        <x:fgColor rgb="FF2A9D8F"/>
      </x:patternFill>
    </x:fill>
    <x:fill>
      <x:patternFill patternType="solid">
        <x:fgColor rgb="FFFDECEC"/>
      </x:patternFill>
    </x:fill>
    <x:fill>
      <x:patternFill patternType="solid">
        <x:fgColor rgb="FFF58518"/>
      </x:patternFill>
    </x:fill>
    <x:fill>
      <x:patternFill patternType="solid">
        <x:fgColor rgb="FFFCE7D3"/>
      </x:patternFill>
    </x:fill>
  </x:fills>
  <x:borders count="1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5" xfId="0" applyNumberFormat="1" applyFont="1" applyFill="1" applyBorder="1"/>
    <x:xf numFmtId="200" fontId="0" fillId="4" borderId="2" xfId="0" applyNumberFormat="1" applyFont="1" applyFill="1" applyBorder="1"/>
    <x:xf numFmtId="200" fontId="0" fillId="4" borderId="4" xfId="0" applyNumberFormat="1" applyFont="1" applyFill="1" applyBorder="1"/>
    <x:xf numFmtId="200" fontId="0" fillId="4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7" xfId="0" applyNumberFormat="1" applyFont="1" applyFill="1" applyBorder="1"/>
    <x:xf numFmtId="0" fontId="4" fillId="2" borderId="7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  <x:xf numFmtId="202" fontId="0" fillId="0" borderId="9" xfId="0" applyNumberFormat="1" applyFont="1" applyFill="1" applyBorder="1"/>
    <x:xf numFmtId="202" fontId="0" fillId="0" borderId="12" xfId="0" applyNumberFormat="1" applyFont="1" applyFill="1" applyBorder="1"/>
    <x:xf numFmtId="202" fontId="0" fillId="0" borderId="15" xfId="0" applyNumberFormat="1" applyFont="1" applyFill="1" applyBorder="1"/>
    <x:xf numFmtId="0" fontId="3" fillId="0" borderId="8" xfId="0" applyNumberFormat="1" applyFont="1" applyFill="1" applyBorder="1"/>
    <x:xf numFmtId="0" fontId="3" fillId="0" borderId="11" xfId="0" applyNumberFormat="1" applyFont="1" applyFill="1" applyBorder="1"/>
    <x:xf numFmtId="0" fontId="3" fillId="0" borderId="14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3" fillId="5" borderId="8" xfId="0" applyNumberFormat="1" applyFont="1" applyFill="1" applyBorder="1"/>
    <x:xf numFmtId="0" fontId="0" fillId="5" borderId="9" xfId="0" applyNumberFormat="1" applyFont="1" applyFill="1" applyBorder="1"/>
    <x:xf numFmtId="201" fontId="0" fillId="5" borderId="9" xfId="0" applyNumberFormat="1" applyFont="1" applyFill="1" applyBorder="1"/>
    <x:xf numFmtId="202" fontId="0" fillId="5" borderId="9" xfId="0" applyNumberFormat="1" applyFont="1" applyFill="1" applyBorder="1"/>
    <x:xf numFmtId="0" fontId="0" fillId="5" borderId="10" xfId="0" applyNumberFormat="1" applyFont="1" applyFill="1" applyBorder="1" applyAlignment="1">
      <x:alignment wrapText="1"/>
    </x:xf>
    <x:xf numFmtId="0" fontId="3" fillId="5" borderId="11" xfId="0" applyNumberFormat="1" applyFont="1" applyFill="1" applyBorder="1"/>
    <x:xf numFmtId="0" fontId="0" fillId="5" borderId="12" xfId="0" applyNumberFormat="1" applyFont="1" applyFill="1" applyBorder="1"/>
    <x:xf numFmtId="201" fontId="0" fillId="5" borderId="12" xfId="0" applyNumberFormat="1" applyFont="1" applyFill="1" applyBorder="1"/>
    <x:xf numFmtId="202" fontId="0" fillId="5" borderId="12" xfId="0" applyNumberFormat="1" applyFont="1" applyFill="1" applyBorder="1"/>
    <x:xf numFmtId="0" fontId="0" fillId="5" borderId="13" xfId="0" applyNumberFormat="1" applyFont="1" applyFill="1" applyBorder="1" applyAlignment="1">
      <x:alignment wrapText="1"/>
    </x:xf>
    <x:xf numFmtId="0" fontId="3" fillId="6" borderId="11" xfId="0" applyNumberFormat="1" applyFont="1" applyFill="1" applyBorder="1"/>
    <x:xf numFmtId="0" fontId="0" fillId="6" borderId="12" xfId="0" applyNumberFormat="1" applyFont="1" applyFill="1" applyBorder="1"/>
    <x:xf numFmtId="201" fontId="0" fillId="6" borderId="12" xfId="0" applyNumberFormat="1" applyFont="1" applyFill="1" applyBorder="1"/>
    <x:xf numFmtId="202" fontId="0" fillId="6" borderId="12" xfId="0" applyNumberFormat="1" applyFont="1" applyFill="1" applyBorder="1"/>
    <x:xf numFmtId="0" fontId="0" fillId="6" borderId="13" xfId="0" applyNumberFormat="1" applyFont="1" applyFill="1" applyBorder="1" applyAlignment="1">
      <x:alignment wrapText="1"/>
    </x:xf>
    <x:xf numFmtId="0" fontId="3" fillId="7" borderId="11" xfId="0" applyNumberFormat="1" applyFont="1" applyFill="1" applyBorder="1"/>
    <x:xf numFmtId="0" fontId="0" fillId="7" borderId="12" xfId="0" applyNumberFormat="1" applyFont="1" applyFill="1" applyBorder="1"/>
    <x:xf numFmtId="201" fontId="0" fillId="7" borderId="12" xfId="0" applyNumberFormat="1" applyFont="1" applyFill="1" applyBorder="1"/>
    <x:xf numFmtId="202" fontId="0" fillId="7" borderId="12" xfId="0" applyNumberFormat="1" applyFont="1" applyFill="1" applyBorder="1"/>
    <x:xf numFmtId="0" fontId="0" fillId="7" borderId="13" xfId="0" applyNumberFormat="1" applyFont="1" applyFill="1" applyBorder="1" applyAlignment="1">
      <x:alignment wrapText="1"/>
    </x:xf>
    <x:xf numFmtId="0" fontId="3" fillId="7" borderId="14" xfId="0" applyNumberFormat="1" applyFont="1" applyFill="1" applyBorder="1"/>
    <x:xf numFmtId="0" fontId="0" fillId="7" borderId="15" xfId="0" applyNumberFormat="1" applyFont="1" applyFill="1" applyBorder="1"/>
    <x:xf numFmtId="201" fontId="0" fillId="7" borderId="15" xfId="0" applyNumberFormat="1" applyFont="1" applyFill="1" applyBorder="1"/>
    <x:xf numFmtId="202" fontId="0" fillId="7" borderId="15" xfId="0" applyNumberFormat="1" applyFont="1" applyFill="1" applyBorder="1"/>
    <x:xf numFmtId="0" fontId="0" fillId="7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/>
    <x:xf numFmtId="0" fontId="0" fillId="0" borderId="10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/>
    <x:xf numFmtId="0" fontId="0" fillId="0" borderId="13" xfId="0" applyNumberFormat="1" applyFont="1" applyFill="1" applyBorder="1" applyAlignment="1">
      <x:alignment vertical="top" wrapText="1"/>
    </x:xf>
    <x:xf numFmtId="0" fontId="3" fillId="3" borderId="14" xfId="0" applyNumberFormat="1" applyFont="1" applyFill="1" applyBorder="1"/>
    <x:xf numFmtId="0" fontId="0" fillId="0" borderId="16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/>
    <x:xf numFmtId="203" fontId="0" fillId="0" borderId="12" xfId="0" applyNumberFormat="1" applyFont="1" applyFill="1" applyBorder="1"/>
    <x:xf numFmtId="203" fontId="0" fillId="0" borderId="15" xfId="0" applyNumberFormat="1" applyFont="1" applyFill="1" applyBorder="1"/>
    <x:xf numFmtId="0" fontId="0" fillId="9" borderId="9" xfId="0" applyNumberFormat="1" applyFont="1" applyFill="1" applyBorder="1"/>
    <x:xf numFmtId="0" fontId="0" fillId="9" borderId="12" xfId="0" applyNumberFormat="1" applyFont="1" applyFill="1" applyBorder="1"/>
    <x:xf numFmtId="0" fontId="0" fillId="9" borderId="15" xfId="0" applyNumberFormat="1" applyFont="1" applyFill="1" applyBorder="1"/>
    <x:xf numFmtId="0" fontId="5" fillId="9" borderId="9" xfId="0" applyNumberFormat="1" applyFont="1" applyFill="1" applyBorder="1"/>
    <x:xf numFmtId="0" fontId="5" fillId="9" borderId="12" xfId="0" applyNumberFormat="1" applyFont="1" applyFill="1" applyBorder="1"/>
    <x:xf numFmtId="0" fontId="5" fillId="9" borderId="15" xfId="0" applyNumberFormat="1" applyFont="1" applyFill="1" applyBorder="1"/>
    <x:xf numFmtId="0" fontId="5" fillId="9" borderId="9" xfId="0" applyNumberFormat="1" applyFont="1" applyFill="1" applyBorder="1" applyAlignment="1">
      <x:alignment horizontal="center"/>
    </x:xf>
    <x:xf numFmtId="0" fontId="5" fillId="9" borderId="12" xfId="0" applyNumberFormat="1" applyFont="1" applyFill="1" applyBorder="1" applyAlignment="1">
      <x:alignment horizontal="center"/>
    </x:xf>
    <x:xf numFmtId="0" fontId="5" fillId="9" borderId="15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8" xfId="0" applyNumberFormat="1" applyFont="1" applyFill="1" applyBorder="1"/>
    <x:xf numFmtId="0" fontId="6" fillId="11" borderId="11" xfId="0" applyNumberFormat="1" applyFont="1" applyFill="1" applyBorder="1"/>
    <x:xf numFmtId="0" fontId="6" fillId="11" borderId="14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9c55be5724d54" /><Relationship Type="http://schemas.openxmlformats.org/officeDocument/2006/relationships/theme" Target="/xl/theme/theme1.xml" Id="Ra8351b0aa5584091" /><Relationship Type="http://schemas.openxmlformats.org/officeDocument/2006/relationships/sharedStrings" Target="/xl/sharedStrings.xml" Id="Rf61897a668c44e5e" /><Relationship Type="http://schemas.openxmlformats.org/officeDocument/2006/relationships/worksheet" Target="/xl/worksheets/sheet1.xml" Id="R092e33435447455a" /><Relationship Type="http://schemas.openxmlformats.org/officeDocument/2006/relationships/worksheet" Target="/xl/worksheets/sheet2.xml" Id="R819a31de54334177" /><Relationship Type="http://schemas.openxmlformats.org/officeDocument/2006/relationships/worksheet" Target="/xl/worksheets/sheet3.xml" Id="R6038532e703e4363" /><Relationship Type="http://schemas.openxmlformats.org/officeDocument/2006/relationships/worksheet" Target="/xl/worksheets/sheet4.xml" Id="Rd516c04591a745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a963046d284cf2" /><Relationship Type="http://schemas.openxmlformats.org/officeDocument/2006/relationships/chart" Target="/xl/drawings/charts/chart2.xml" Id="R5529eabc3c2f4d59" /><Relationship Type="http://schemas.openxmlformats.org/officeDocument/2006/relationships/chart" Target="/xl/drawings/charts/chart3.xml" Id="Rdf78b422080c48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Độ lệch chuẩn giảm sau xử lý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Biến thô</c:v>
          </c:tx>
          <c:dLbls/>
          <c:cat>
            <c:strRef>
              <c:f>'BieuDo'!$A$5:$A$7</c:f>
              <c:strCache>
                <c:ptCount val="0"/>
              </c:strCache>
            </c:strRef>
          </c:cat>
          <c:val>
            <c:numRef>
              <c:f>'BieuDo'!$B$5:$B$7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Biến sạch</c:v>
          </c:tx>
          <c:dLbls/>
          <c:cat>
            <c:strRef>
              <c:f>'BieuDo'!$A$5:$A$7</c:f>
              <c:strCache>
                <c:ptCount val="0"/>
              </c:strCache>
            </c:strRef>
          </c:cat>
          <c:val>
            <c:numRef>
              <c:f>'BieuDo'!$C$5:$C$7</c:f>
              <c:numCache>
                <c:formatCode>#,##0.00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Độ lệch chuẩn</a:t>
                </a:r>
              </a:p>
            </c:rich>
          </c:tx>
          <c:overlay val="0"/>
        </c:title>
        <c:numFmt formatCode="#,##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Độ lệch phân phối giảm sau xử lý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Biến thô</c:v>
          </c:tx>
          <c:dLbls/>
          <c:cat>
            <c:strRef>
              <c:f>'BieuDo'!$E$5:$E$7</c:f>
              <c:strCache>
                <c:ptCount val="0"/>
              </c:strCache>
            </c:strRef>
          </c:cat>
          <c:val>
            <c:numRef>
              <c:f>'BieuDo'!$F$5:$F$7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Biến sạch</c:v>
          </c:tx>
          <c:dLbls/>
          <c:cat>
            <c:strRef>
              <c:f>'BieuDo'!$E$5:$E$7</c:f>
              <c:strCache>
                <c:ptCount val="0"/>
              </c:strCache>
            </c:strRef>
          </c:cat>
          <c:val>
            <c:numRef>
              <c:f>'BieuDo'!$G$5:$G$7</c:f>
              <c:numCache>
                <c:formatCode>#,##0.00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Skewness</a:t>
                </a:r>
              </a:p>
            </c:rich>
          </c:tx>
          <c:overlay val="0"/>
        </c:title>
        <c:numFmt formatCode="#,##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Outlier theo hàng rào IQR gốc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Biến thô</c:v>
          </c:tx>
          <c:dLbls/>
          <c:cat>
            <c:strRef>
              <c:f>'BieuDo'!$I$5:$I$7</c:f>
              <c:strCache>
                <c:ptCount val="0"/>
              </c:strCache>
            </c:strRef>
          </c:cat>
          <c:val>
            <c:numRef>
              <c:f>'BieuDo'!$J$5:$J$7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Biến sạch</c:v>
          </c:tx>
          <c:dLbls/>
          <c:cat>
            <c:strRef>
              <c:f>'BieuDo'!$I$5:$I$7</c:f>
              <c:strCache>
                <c:ptCount val="0"/>
              </c:strCache>
            </c:strRef>
          </c:cat>
          <c:val>
            <c:numRef>
              <c:f>'BieuDo'!$K$5:$K$7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quan sát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a963046d284cf2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29eabc3c2f4d59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78b422080c48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CleanComparisonTable" displayName="RawCleanComparisonTable" ref="A10:G40" headerRowCount="1" totalsRowCount="0" totalsRowShown="0">
  <x:tableColumns count="7">
    <x:tableColumn id="1" name="Biến"/>
    <x:tableColumn id="2" name="Chỉ số"/>
    <x:tableColumn id="3" name="Biến thô"/>
    <x:tableColumn id="4" name="Biến sạch"/>
    <x:tableColumn id="5" name="Thay đổi"/>
    <x:tableColumn id="6" name="% thay đổi"/>
    <x:tableColumn id="7" name="Nhận xé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2f8f6fb30642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972d381441e44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4" hidden="0" customWidth="1"/>
  </x:cols>
  <x:sheetData>
    <x:row r="1" ht="30" customHeight="1">
      <x:c r="A1" s="4" t="str">
        <x:v>SO SÁNH BIẾN THÔ VÀ BIẾN SẠCH</x:v>
      </x:c>
    </x:row>
    <x:row r="2" ht="30" customHeight="1"/>
    <x:row r="3" ht="21" customHeight="1"/>
    <x:row r="4" ht="21" customHeight="1">
      <x:c r="A4" s="7" t="str">
        <x:v>Nguồn: bank-full.csv ↔ bank_full_preprocess_template.xlsx | Phạm vi: age, balance, duration | 45.211 dòng</x:v>
      </x:c>
    </x:row>
    <x:row r="5" ht="21" customHeight="1"/>
    <x:row r="6" ht="21" customHeight="1">
      <x:c r="A6" s="15" t="str">
        <x:v>Số dòng biến thô</x:v>
      </x:c>
      <x:c r="B6" s="18" t="n">
        <x:v>45211</x:v>
      </x:c>
      <x:c r="D6" s="15" t="str">
        <x:v>Ô thiếu ở 3 biến</x:v>
      </x:c>
      <x:c r="E6" s="18" t="n">
        <x:v>0</x:v>
      </x:c>
    </x:row>
    <x:row r="7" ht="21" customHeight="1">
      <x:c r="A7" s="16" t="str">
        <x:v>Số dòng biến sạch</x:v>
      </x:c>
      <x:c r="B7" s="19" t="n">
        <x:v>45211</x:v>
      </x:c>
      <x:c r="D7" s="16" t="str">
        <x:v>Giá trị được điền</x:v>
      </x:c>
      <x:c r="E7" s="19" t="n">
        <x:v>0</x:v>
      </x:c>
    </x:row>
    <x:row r="8" ht="21" customHeight="1">
      <x:c r="A8" s="17" t="str">
        <x:v>Số dòng bị loại</x:v>
      </x:c>
      <x:c r="B8" s="20" t="n">
        <x:v>0</x:v>
      </x:c>
      <x:c r="D8" s="17" t="str">
        <x:v>Giá trị được capping</x:v>
      </x:c>
      <x:c r="E8" s="20" t="n">
        <x:v>8451</x:v>
      </x:c>
    </x:row>
    <x:row r="9" ht="21" customHeight="1"/>
    <x:row r="10" ht="21" customHeight="1">
      <x:c r="A10" s="25" t="str">
        <x:v>Biến</x:v>
      </x:c>
      <x:c r="B10" s="25" t="str">
        <x:v>Chỉ số</x:v>
      </x:c>
      <x:c r="C10" s="25" t="str">
        <x:v>Biến thô</x:v>
      </x:c>
      <x:c r="D10" s="25" t="str">
        <x:v>Biến sạch</x:v>
      </x:c>
      <x:c r="E10" s="25" t="str">
        <x:v>Thay đổi</x:v>
      </x:c>
      <x:c r="F10" s="25" t="str">
        <x:v>% thay đổi</x:v>
      </x:c>
      <x:c r="G10" s="25" t="str">
        <x:v>Nhận xét</x:v>
      </x:c>
    </x:row>
    <x:row r="11" ht="21" customHeight="1">
      <x:c r="A11" s="47" t="str">
        <x:v>age</x:v>
      </x:c>
      <x:c r="B11" s="48" t="str">
        <x:v>Số ô thiếu</x:v>
      </x:c>
      <x:c r="C11" s="49" t="n">
        <x:v>0</x:v>
      </x:c>
      <x:c r="D11" s="49" t="n">
        <x:v>0</x:v>
      </x:c>
      <x:c r="E11" s="49" t="n">
        <x:f>D11-C11</x:f>
        <x:v>0</x:v>
      </x:c>
      <x:c r="F11" s="50" t="str">
        <x:f>IF(C11=0,"",D11/C11-1)</x:f>
      </x:c>
      <x:c r="G11" s="51" t="str">
        <x:v>Không có thiếu nên Mean/Median không tạo thay đổi</x:v>
      </x:c>
    </x:row>
    <x:row r="12" ht="21" customHeight="1">
      <x:c r="A12" s="52" t="str">
        <x:v>age</x:v>
      </x:c>
      <x:c r="B12" s="53" t="str">
        <x:v>Trung bình</x:v>
      </x:c>
      <x:c r="C12" s="54" t="n">
        <x:v>40.93621021432837</x:v>
      </x:c>
      <x:c r="D12" s="54" t="n">
        <x:v>40.86818473380372</x:v>
      </x:c>
      <x:c r="E12" s="54" t="n">
        <x:f>D12-C12</x:f>
        <x:v>-0.0680254805246463</x:v>
      </x:c>
      <x:c r="F12" s="55" t="n">
        <x:f>IF(C12=0,"",D12/C12-1)</x:f>
        <x:v>-0.0016617434825668687</x:v>
      </x:c>
      <x:c r="G12" s="56" t="str"/>
    </x:row>
    <x:row r="13" ht="21" customHeight="1">
      <x:c r="A13" s="52" t="str">
        <x:v>age</x:v>
      </x:c>
      <x:c r="B13" s="53" t="str">
        <x:v>Trung vị</x:v>
      </x:c>
      <x:c r="C13" s="54" t="n">
        <x:v>39</x:v>
      </x:c>
      <x:c r="D13" s="54" t="n">
        <x:v>39</x:v>
      </x:c>
      <x:c r="E13" s="54" t="n">
        <x:f>D13-C13</x:f>
        <x:v>0</x:v>
      </x:c>
      <x:c r="F13" s="55" t="n">
        <x:f>IF(C13=0,"",D13/C13-1)</x:f>
        <x:v>0</x:v>
      </x:c>
      <x:c r="G13" s="56" t="str">
        <x:v>Trung tâm bền vững, không đổi</x:v>
      </x:c>
    </x:row>
    <x:row r="14" ht="21" customHeight="1">
      <x:c r="A14" s="52" t="str">
        <x:v>age</x:v>
      </x:c>
      <x:c r="B14" s="53" t="str">
        <x:v>Độ lệch chuẩn</x:v>
      </x:c>
      <x:c r="C14" s="54" t="n">
        <x:v>10.61876204097542</x:v>
      </x:c>
      <x:c r="D14" s="54" t="n">
        <x:v>10.394894997172232</x:v>
      </x:c>
      <x:c r="E14" s="54" t="n">
        <x:f>D14-C14</x:f>
        <x:v>-0.2238670438031889</x:v>
      </x:c>
      <x:c r="F14" s="55" t="n">
        <x:f>IF(C14=0,"",D14/C14-1)</x:f>
        <x:v>-0.02108221682898026</x:v>
      </x:c>
      <x:c r="G14" s="56" t="str">
        <x:v>Độ phân tán giảm sau capping</x:v>
      </x:c>
    </x:row>
    <x:row r="15" ht="21" customHeight="1">
      <x:c r="A15" s="52" t="str">
        <x:v>age</x:v>
      </x:c>
      <x:c r="B15" s="53" t="str">
        <x:v>Nhỏ nhất</x:v>
      </x:c>
      <x:c r="C15" s="54" t="n">
        <x:v>18</x:v>
      </x:c>
      <x:c r="D15" s="54" t="n">
        <x:v>18</x:v>
      </x:c>
      <x:c r="E15" s="54" t="n">
        <x:f>D15-C15</x:f>
        <x:v>0</x:v>
      </x:c>
      <x:c r="F15" s="55" t="n">
        <x:f>IF(C15=0,"",D15/C15-1)</x:f>
        <x:v>0</x:v>
      </x:c>
      <x:c r="G15" s="56" t="str"/>
    </x:row>
    <x:row r="16" ht="21" customHeight="1">
      <x:c r="A16" s="52" t="str">
        <x:v>age</x:v>
      </x:c>
      <x:c r="B16" s="53" t="str">
        <x:v>Q1</x:v>
      </x:c>
      <x:c r="C16" s="54" t="n">
        <x:v>33</x:v>
      </x:c>
      <x:c r="D16" s="54" t="n">
        <x:v>33</x:v>
      </x:c>
      <x:c r="E16" s="54" t="n">
        <x:f>D16-C16</x:f>
        <x:v>0</x:v>
      </x:c>
      <x:c r="F16" s="55" t="n">
        <x:f>IF(C16=0,"",D16/C16-1)</x:f>
        <x:v>0</x:v>
      </x:c>
      <x:c r="G16" s="56" t="str"/>
    </x:row>
    <x:row r="17" ht="21" customHeight="1">
      <x:c r="A17" s="52" t="str">
        <x:v>age</x:v>
      </x:c>
      <x:c r="B17" s="53" t="str">
        <x:v>Q3</x:v>
      </x:c>
      <x:c r="C17" s="54" t="n">
        <x:v>48</x:v>
      </x:c>
      <x:c r="D17" s="54" t="n">
        <x:v>48</x:v>
      </x:c>
      <x:c r="E17" s="54" t="n">
        <x:f>D17-C17</x:f>
        <x:v>0</x:v>
      </x:c>
      <x:c r="F17" s="55" t="n">
        <x:f>IF(C17=0,"",D17/C17-1)</x:f>
        <x:v>0</x:v>
      </x:c>
      <x:c r="G17" s="56" t="str"/>
    </x:row>
    <x:row r="18" ht="21" customHeight="1">
      <x:c r="A18" s="52" t="str">
        <x:v>age</x:v>
      </x:c>
      <x:c r="B18" s="53" t="str">
        <x:v>Lớn nhất</x:v>
      </x:c>
      <x:c r="C18" s="54" t="n">
        <x:v>95</x:v>
      </x:c>
      <x:c r="D18" s="54" t="n">
        <x:v>70.5</x:v>
      </x:c>
      <x:c r="E18" s="54" t="n">
        <x:f>D18-C18</x:f>
        <x:v>-24.5</x:v>
      </x:c>
      <x:c r="F18" s="55" t="n">
        <x:f>IF(C18=0,"",D18/C18-1)</x:f>
        <x:v>-0.2578947368421053</x:v>
      </x:c>
      <x:c r="G18" s="56" t="str"/>
    </x:row>
    <x:row r="19" ht="21" customHeight="1">
      <x:c r="A19" s="52" t="str">
        <x:v>age</x:v>
      </x:c>
      <x:c r="B19" s="53" t="str">
        <x:v>Độ lệch (skewness)</x:v>
      </x:c>
      <x:c r="C19" s="54" t="n">
        <x:v>0.6848179257252598</x:v>
      </x:c>
      <x:c r="D19" s="54" t="n">
        <x:v>0.5297147307121478</x:v>
      </x:c>
      <x:c r="E19" s="54" t="n">
        <x:f>D19-C19</x:f>
        <x:v>-0.15510319501311198</x:v>
      </x:c>
      <x:c r="F19" s="55" t="n">
        <x:f>IF(C19=0,"",D19/C19-1)</x:f>
        <x:v>-0.22648822290808057</x:v>
      </x:c>
      <x:c r="G19" s="56" t="str">
        <x:v>Đuôi phải giảm rõ</x:v>
      </x:c>
    </x:row>
    <x:row r="20" ht="21" customHeight="1">
      <x:c r="A20" s="52" t="str">
        <x:v>age</x:v>
      </x:c>
      <x:c r="B20" s="53" t="str">
        <x:v>Outlier theo hàng rào gốc</x:v>
      </x:c>
      <x:c r="C20" s="54" t="n">
        <x:v>487</x:v>
      </x:c>
      <x:c r="D20" s="54" t="n">
        <x:v>0</x:v>
      </x:c>
      <x:c r="E20" s="54" t="n">
        <x:f>D20-C20</x:f>
        <x:v>-487</x:v>
      </x:c>
      <x:c r="F20" s="55" t="n">
        <x:f>IF(C20=0,"",D20/C20-1)</x:f>
        <x:v>-1</x:v>
      </x:c>
      <x:c r="G20" s="56" t="str">
        <x:v>Các giá trị ngoài hàng rào gốc đã được chặn</x:v>
      </x:c>
    </x:row>
    <x:row r="21" ht="21" customHeight="1">
      <x:c r="A21" s="57" t="str">
        <x:v>balance</x:v>
      </x:c>
      <x:c r="B21" s="58" t="str">
        <x:v>Số ô thiếu</x:v>
      </x:c>
      <x:c r="C21" s="59" t="n">
        <x:v>0</x:v>
      </x:c>
      <x:c r="D21" s="59" t="n">
        <x:v>0</x:v>
      </x:c>
      <x:c r="E21" s="59" t="n">
        <x:f>D21-C21</x:f>
        <x:v>0</x:v>
      </x:c>
      <x:c r="F21" s="60" t="str">
        <x:f>IF(C21=0,"",D21/C21-1)</x:f>
      </x:c>
      <x:c r="G21" s="61" t="str">
        <x:v>Không có thiếu nên Mean/Median không tạo thay đổi</x:v>
      </x:c>
    </x:row>
    <x:row r="22" ht="21" customHeight="1">
      <x:c r="A22" s="57" t="str">
        <x:v>balance</x:v>
      </x:c>
      <x:c r="B22" s="58" t="str">
        <x:v>Trung bình</x:v>
      </x:c>
      <x:c r="C22" s="59" t="n">
        <x:v>1362.2720576850766</x:v>
      </x:c>
      <x:c r="D22" s="59" t="n">
        <x:v>933.7069739665126</x:v>
      </x:c>
      <x:c r="E22" s="59" t="n">
        <x:f>D22-C22</x:f>
        <x:v>-428.565083718564</x:v>
      </x:c>
      <x:c r="F22" s="60" t="n">
        <x:f>IF(C22=0,"",D22/C22-1)</x:f>
        <x:v>-0.31459581168157347</x:v>
      </x:c>
      <x:c r="G22" s="61" t="str"/>
    </x:row>
    <x:row r="23" ht="21" customHeight="1">
      <x:c r="A23" s="57" t="str">
        <x:v>balance</x:v>
      </x:c>
      <x:c r="B23" s="58" t="str">
        <x:v>Trung vị</x:v>
      </x:c>
      <x:c r="C23" s="59" t="n">
        <x:v>448</x:v>
      </x:c>
      <x:c r="D23" s="59" t="n">
        <x:v>448</x:v>
      </x:c>
      <x:c r="E23" s="59" t="n">
        <x:f>D23-C23</x:f>
        <x:v>0</x:v>
      </x:c>
      <x:c r="F23" s="60" t="n">
        <x:f>IF(C23=0,"",D23/C23-1)</x:f>
        <x:v>0</x:v>
      </x:c>
      <x:c r="G23" s="61" t="str">
        <x:v>Trung tâm bền vững, không đổi</x:v>
      </x:c>
    </x:row>
    <x:row r="24" ht="21" customHeight="1">
      <x:c r="A24" s="57" t="str">
        <x:v>balance</x:v>
      </x:c>
      <x:c r="B24" s="58" t="str">
        <x:v>Độ lệch chuẩn</x:v>
      </x:c>
      <x:c r="C24" s="59" t="n">
        <x:v>3044.7658291685175</x:v>
      </x:c>
      <x:c r="D24" s="59" t="n">
        <x:v>1176.7653686468338</x:v>
      </x:c>
      <x:c r="E24" s="59" t="n">
        <x:f>D24-C24</x:f>
        <x:v>-1868.0004605216836</x:v>
      </x:c>
      <x:c r="F24" s="60" t="n">
        <x:f>IF(C24=0,"",D24/C24-1)</x:f>
        <x:v>-0.6135120286185713</x:v>
      </x:c>
      <x:c r="G24" s="61" t="str">
        <x:v>Độ phân tán giảm sau capping</x:v>
      </x:c>
    </x:row>
    <x:row r="25" ht="21" customHeight="1">
      <x:c r="A25" s="57" t="str">
        <x:v>balance</x:v>
      </x:c>
      <x:c r="B25" s="58" t="str">
        <x:v>Nhỏ nhất</x:v>
      </x:c>
      <x:c r="C25" s="59" t="n">
        <x:v>-8019</x:v>
      </x:c>
      <x:c r="D25" s="59" t="n">
        <x:v>-1962</x:v>
      </x:c>
      <x:c r="E25" s="59" t="n">
        <x:f>D25-C25</x:f>
        <x:v>6057</x:v>
      </x:c>
      <x:c r="F25" s="60" t="n">
        <x:f>IF(C25=0,"",D25/C25-1)</x:f>
        <x:v>-0.755331088664422</x:v>
      </x:c>
      <x:c r="G25" s="61" t="str"/>
    </x:row>
    <x:row r="26" ht="21" customHeight="1">
      <x:c r="A26" s="57" t="str">
        <x:v>balance</x:v>
      </x:c>
      <x:c r="B26" s="58" t="str">
        <x:v>Q1</x:v>
      </x:c>
      <x:c r="C26" s="59" t="n">
        <x:v>72</x:v>
      </x:c>
      <x:c r="D26" s="59" t="n">
        <x:v>72</x:v>
      </x:c>
      <x:c r="E26" s="59" t="n">
        <x:f>D26-C26</x:f>
        <x:v>0</x:v>
      </x:c>
      <x:c r="F26" s="60" t="n">
        <x:f>IF(C26=0,"",D26/C26-1)</x:f>
        <x:v>0</x:v>
      </x:c>
      <x:c r="G26" s="61" t="str"/>
    </x:row>
    <x:row r="27" ht="21" customHeight="1">
      <x:c r="A27" s="57" t="str">
        <x:v>balance</x:v>
      </x:c>
      <x:c r="B27" s="58" t="str">
        <x:v>Q3</x:v>
      </x:c>
      <x:c r="C27" s="59" t="n">
        <x:v>1428</x:v>
      </x:c>
      <x:c r="D27" s="59" t="n">
        <x:v>1428</x:v>
      </x:c>
      <x:c r="E27" s="59" t="n">
        <x:f>D27-C27</x:f>
        <x:v>0</x:v>
      </x:c>
      <x:c r="F27" s="60" t="n">
        <x:f>IF(C27=0,"",D27/C27-1)</x:f>
        <x:v>0</x:v>
      </x:c>
      <x:c r="G27" s="61" t="str"/>
    </x:row>
    <x:row r="28" ht="21" customHeight="1">
      <x:c r="A28" s="57" t="str">
        <x:v>balance</x:v>
      </x:c>
      <x:c r="B28" s="58" t="str">
        <x:v>Lớn nhất</x:v>
      </x:c>
      <x:c r="C28" s="59" t="n">
        <x:v>102127</x:v>
      </x:c>
      <x:c r="D28" s="59" t="n">
        <x:v>3462</x:v>
      </x:c>
      <x:c r="E28" s="59" t="n">
        <x:f>D28-C28</x:f>
        <x:v>-98665</x:v>
      </x:c>
      <x:c r="F28" s="60" t="n">
        <x:f>IF(C28=0,"",D28/C28-1)</x:f>
        <x:v>-0.966101031069159</x:v>
      </x:c>
      <x:c r="G28" s="61" t="str"/>
    </x:row>
    <x:row r="29" ht="21" customHeight="1">
      <x:c r="A29" s="57" t="str">
        <x:v>balance</x:v>
      </x:c>
      <x:c r="B29" s="58" t="str">
        <x:v>Độ lệch (skewness)</x:v>
      </x:c>
      <x:c r="C29" s="59" t="n">
        <x:v>8.360308326166326</x:v>
      </x:c>
      <x:c r="D29" s="59" t="n">
        <x:v>1.0978021758668197</x:v>
      </x:c>
      <x:c r="E29" s="59" t="n">
        <x:f>D29-C29</x:f>
        <x:v>-7.262506150299506</x:v>
      </x:c>
      <x:c r="F29" s="60" t="n">
        <x:f>IF(C29=0,"",D29/C29-1)</x:f>
        <x:v>-0.868688793159591</x:v>
      </x:c>
      <x:c r="G29" s="61" t="str">
        <x:v>Đuôi phải giảm rõ</x:v>
      </x:c>
    </x:row>
    <x:row r="30" ht="21" customHeight="1">
      <x:c r="A30" s="57" t="str">
        <x:v>balance</x:v>
      </x:c>
      <x:c r="B30" s="58" t="str">
        <x:v>Outlier theo hàng rào gốc</x:v>
      </x:c>
      <x:c r="C30" s="59" t="n">
        <x:v>4729</x:v>
      </x:c>
      <x:c r="D30" s="59" t="n">
        <x:v>0</x:v>
      </x:c>
      <x:c r="E30" s="59" t="n">
        <x:f>D30-C30</x:f>
        <x:v>-4729</x:v>
      </x:c>
      <x:c r="F30" s="60" t="n">
        <x:f>IF(C30=0,"",D30/C30-1)</x:f>
        <x:v>-1</x:v>
      </x:c>
      <x:c r="G30" s="61" t="str">
        <x:v>Các giá trị ngoài hàng rào gốc đã được chặn</x:v>
      </x:c>
    </x:row>
    <x:row r="31" ht="21" customHeight="1">
      <x:c r="A31" s="62" t="str">
        <x:v>duration</x:v>
      </x:c>
      <x:c r="B31" s="63" t="str">
        <x:v>Số ô thiếu</x:v>
      </x:c>
      <x:c r="C31" s="64" t="n">
        <x:v>0</x:v>
      </x:c>
      <x:c r="D31" s="64" t="n">
        <x:v>0</x:v>
      </x:c>
      <x:c r="E31" s="64" t="n">
        <x:f>D31-C31</x:f>
        <x:v>0</x:v>
      </x:c>
      <x:c r="F31" s="65" t="str">
        <x:f>IF(C31=0,"",D31/C31-1)</x:f>
      </x:c>
      <x:c r="G31" s="66" t="str">
        <x:v>Không có thiếu nên Mean/Median không tạo thay đổi</x:v>
      </x:c>
    </x:row>
    <x:row r="32" ht="21" customHeight="1">
      <x:c r="A32" s="62" t="str">
        <x:v>duration</x:v>
      </x:c>
      <x:c r="B32" s="63" t="str">
        <x:v>Trung bình</x:v>
      </x:c>
      <x:c r="C32" s="64" t="n">
        <x:v>258.1630797814691</x:v>
      </x:c>
      <x:c r="D32" s="64" t="n">
        <x:v>234.93930680586584</x:v>
      </x:c>
      <x:c r="E32" s="64" t="n">
        <x:f>D32-C32</x:f>
        <x:v>-23.223772975603254</x:v>
      </x:c>
      <x:c r="F32" s="65" t="n">
        <x:f>IF(C32=0,"",D32/C32-1)</x:f>
        <x:v>-0.08995776233868069</x:v>
      </x:c>
      <x:c r="G32" s="66" t="str"/>
    </x:row>
    <x:row r="33" ht="21" customHeight="1">
      <x:c r="A33" s="62" t="str">
        <x:v>duration</x:v>
      </x:c>
      <x:c r="B33" s="63" t="str">
        <x:v>Trung vị</x:v>
      </x:c>
      <x:c r="C33" s="64" t="n">
        <x:v>180</x:v>
      </x:c>
      <x:c r="D33" s="64" t="n">
        <x:v>180</x:v>
      </x:c>
      <x:c r="E33" s="64" t="n">
        <x:f>D33-C33</x:f>
        <x:v>0</x:v>
      </x:c>
      <x:c r="F33" s="65" t="n">
        <x:f>IF(C33=0,"",D33/C33-1)</x:f>
        <x:v>0</x:v>
      </x:c>
      <x:c r="G33" s="66" t="str">
        <x:v>Trung tâm bền vững, không đổi</x:v>
      </x:c>
    </x:row>
    <x:row r="34" ht="21" customHeight="1">
      <x:c r="A34" s="62" t="str">
        <x:v>duration</x:v>
      </x:c>
      <x:c r="B34" s="63" t="str">
        <x:v>Độ lệch chuẩn</x:v>
      </x:c>
      <x:c r="C34" s="64" t="n">
        <x:v>257.5278122651719</x:v>
      </x:c>
      <x:c r="D34" s="64" t="n">
        <x:v>176.74993197438613</x:v>
      </x:c>
      <x:c r="E34" s="64" t="n">
        <x:f>D34-C34</x:f>
        <x:v>-80.77788029078579</x:v>
      </x:c>
      <x:c r="F34" s="65" t="n">
        <x:f>IF(C34=0,"",D34/C34-1)</x:f>
        <x:v>-0.3136666272286358</x:v>
      </x:c>
      <x:c r="G34" s="66" t="str">
        <x:v>Độ phân tán giảm sau capping</x:v>
      </x:c>
    </x:row>
    <x:row r="35" ht="21" customHeight="1">
      <x:c r="A35" s="62" t="str">
        <x:v>duration</x:v>
      </x:c>
      <x:c r="B35" s="63" t="str">
        <x:v>Nhỏ nhất</x:v>
      </x:c>
      <x:c r="C35" s="64" t="n">
        <x:v>0</x:v>
      </x:c>
      <x:c r="D35" s="64" t="n">
        <x:v>0</x:v>
      </x:c>
      <x:c r="E35" s="64" t="n">
        <x:f>D35-C35</x:f>
        <x:v>0</x:v>
      </x:c>
      <x:c r="F35" s="65" t="str">
        <x:f>IF(C35=0,"",D35/C35-1)</x:f>
      </x:c>
      <x:c r="G35" s="66" t="str"/>
    </x:row>
    <x:row r="36" ht="21" customHeight="1">
      <x:c r="A36" s="62" t="str">
        <x:v>duration</x:v>
      </x:c>
      <x:c r="B36" s="63" t="str">
        <x:v>Q1</x:v>
      </x:c>
      <x:c r="C36" s="64" t="n">
        <x:v>103</x:v>
      </x:c>
      <x:c r="D36" s="64" t="n">
        <x:v>103</x:v>
      </x:c>
      <x:c r="E36" s="64" t="n">
        <x:f>D36-C36</x:f>
        <x:v>0</x:v>
      </x:c>
      <x:c r="F36" s="65" t="n">
        <x:f>IF(C36=0,"",D36/C36-1)</x:f>
        <x:v>0</x:v>
      </x:c>
      <x:c r="G36" s="66" t="str"/>
    </x:row>
    <x:row r="37" ht="21" customHeight="1">
      <x:c r="A37" s="62" t="str">
        <x:v>duration</x:v>
      </x:c>
      <x:c r="B37" s="63" t="str">
        <x:v>Q3</x:v>
      </x:c>
      <x:c r="C37" s="64" t="n">
        <x:v>319</x:v>
      </x:c>
      <x:c r="D37" s="64" t="n">
        <x:v>319</x:v>
      </x:c>
      <x:c r="E37" s="64" t="n">
        <x:f>D37-C37</x:f>
        <x:v>0</x:v>
      </x:c>
      <x:c r="F37" s="65" t="n">
        <x:f>IF(C37=0,"",D37/C37-1)</x:f>
        <x:v>0</x:v>
      </x:c>
      <x:c r="G37" s="66" t="str"/>
    </x:row>
    <x:row r="38" ht="21" customHeight="1">
      <x:c r="A38" s="62" t="str">
        <x:v>duration</x:v>
      </x:c>
      <x:c r="B38" s="63" t="str">
        <x:v>Lớn nhất</x:v>
      </x:c>
      <x:c r="C38" s="64" t="n">
        <x:v>4918</x:v>
      </x:c>
      <x:c r="D38" s="64" t="n">
        <x:v>643</x:v>
      </x:c>
      <x:c r="E38" s="64" t="n">
        <x:f>D38-C38</x:f>
        <x:v>-4275</x:v>
      </x:c>
      <x:c r="F38" s="65" t="n">
        <x:f>IF(C38=0,"",D38/C38-1)</x:f>
        <x:v>-0.8692557950386336</x:v>
      </x:c>
      <x:c r="G38" s="66" t="str"/>
    </x:row>
    <x:row r="39" ht="21" customHeight="1">
      <x:c r="A39" s="62" t="str">
        <x:v>duration</x:v>
      </x:c>
      <x:c r="B39" s="63" t="str">
        <x:v>Độ lệch (skewness)</x:v>
      </x:c>
      <x:c r="C39" s="64" t="n">
        <x:v>3.144318099423455</x:v>
      </x:c>
      <x:c r="D39" s="64" t="n">
        <x:v>1.037573684637408</x:v>
      </x:c>
      <x:c r="E39" s="64" t="n">
        <x:f>D39-C39</x:f>
        <x:v>-2.1067444147860472</x:v>
      </x:c>
      <x:c r="F39" s="65" t="n">
        <x:f>IF(C39=0,"",D39/C39-1)</x:f>
        <x:v>-0.6700163113815811</x:v>
      </x:c>
      <x:c r="G39" s="66" t="str">
        <x:v>Đuôi phải giảm rõ</x:v>
      </x:c>
    </x:row>
    <x:row r="40" ht="21" customHeight="1">
      <x:c r="A40" s="67" t="str">
        <x:v>duration</x:v>
      </x:c>
      <x:c r="B40" s="68" t="str">
        <x:v>Outlier theo hàng rào gốc</x:v>
      </x:c>
      <x:c r="C40" s="69" t="n">
        <x:v>3235</x:v>
      </x:c>
      <x:c r="D40" s="69" t="n">
        <x:v>0</x:v>
      </x:c>
      <x:c r="E40" s="69" t="n">
        <x:f>D40-C40</x:f>
        <x:v>-3235</x:v>
      </x:c>
      <x:c r="F40" s="70" t="n">
        <x:f>IF(C40=0,"",D40/C40-1)</x:f>
        <x:v>-1</x:v>
      </x:c>
      <x:c r="G40" s="71" t="str">
        <x:v>Các giá trị ngoài hàng rào gốc đã được chặn</x:v>
      </x:c>
    </x:row>
  </x:sheetData>
  <x:mergeCells>
    <x:mergeCell ref="A1:G2"/>
    <x:mergeCell ref="A4:G4"/>
  </x:mergeCells>
  <x:pageMargins left="0.7" right="0.7" top="0.75" bottom="0.75" header="0.3" footer="0.3"/>
  <x:tableParts count="1">
    <x:tablePart xmlns:r="http://schemas.openxmlformats.org/officeDocument/2006/relationships" r:id="R532f8f6fb30642d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8" hidden="0" customWidth="1"/>
  </x:cols>
  <x:sheetData>
    <x:row r="1" ht="30" customHeight="1">
      <x:c r="A1" s="4" t="str">
        <x:v>KIỂM KÊ KHUYẾT THIẾU VÀ XỬ LÝ OUTLIER</x:v>
      </x:c>
    </x:row>
    <x:row r="2" ht="30" customHeight="1"/>
    <x:row r="4">
      <x:c r="A4" s="25" t="str">
        <x:v>Biến</x:v>
      </x:c>
      <x:c r="B4" s="25" t="str">
        <x:v>Null/NaN thô</x:v>
      </x:c>
      <x:c r="C4" s="25" t="str">
        <x:v>Mean thay đổi</x:v>
      </x:c>
      <x:c r="D4" s="25" t="str">
        <x:v>Median thay đổi</x:v>
      </x:c>
      <x:c r="E4" s="25" t="str">
        <x:v>Hàng rào dưới</x:v>
      </x:c>
      <x:c r="F4" s="25" t="str">
        <x:v>Hàng rào trên</x:v>
      </x:c>
      <x:c r="G4" s="25" t="str">
        <x:v>Outlier/Capped</x:v>
      </x:c>
      <x:c r="H4" s="25" t="str">
        <x:v>Phương pháp</x:v>
      </x:c>
    </x:row>
    <x:row r="5">
      <x:c r="A5" s="41" t="str">
        <x:v>age</x:v>
      </x:c>
      <x:c r="B5" s="72" t="n">
        <x:v>0</x:v>
      </x:c>
      <x:c r="C5" s="72" t="n">
        <x:v>0</x:v>
      </x:c>
      <x:c r="D5" s="72" t="n">
        <x:v>0</x:v>
      </x:c>
      <x:c r="E5" s="35" t="n">
        <x:v>10.5</x:v>
      </x:c>
      <x:c r="F5" s="35" t="n">
        <x:v>70.5</x:v>
      </x:c>
      <x:c r="G5" s="35" t="n">
        <x:v>487</x:v>
      </x:c>
      <x:c r="H5" s="44" t="str">
        <x:v>Median fill nếu thiếu; IQR capping, không xóa dòng</x:v>
      </x:c>
    </x:row>
    <x:row r="6">
      <x:c r="A6" s="42" t="str">
        <x:v>balance</x:v>
      </x:c>
      <x:c r="B6" s="73" t="n">
        <x:v>0</x:v>
      </x:c>
      <x:c r="C6" s="73" t="n">
        <x:v>0</x:v>
      </x:c>
      <x:c r="D6" s="73" t="n">
        <x:v>0</x:v>
      </x:c>
      <x:c r="E6" s="36" t="n">
        <x:v>-1962</x:v>
      </x:c>
      <x:c r="F6" s="36" t="n">
        <x:v>3462</x:v>
      </x:c>
      <x:c r="G6" s="36" t="n">
        <x:v>4729</x:v>
      </x:c>
      <x:c r="H6" s="45" t="str">
        <x:v>Median fill nếu thiếu; IQR capping, không xóa dòng</x:v>
      </x:c>
    </x:row>
    <x:row r="7">
      <x:c r="A7" s="43" t="str">
        <x:v>duration</x:v>
      </x:c>
      <x:c r="B7" s="74" t="n">
        <x:v>0</x:v>
      </x:c>
      <x:c r="C7" s="74" t="n">
        <x:v>0</x:v>
      </x:c>
      <x:c r="D7" s="74" t="n">
        <x:v>0</x:v>
      </x:c>
      <x:c r="E7" s="37" t="n">
        <x:v>-221</x:v>
      </x:c>
      <x:c r="F7" s="37" t="n">
        <x:v>643</x:v>
      </x:c>
      <x:c r="G7" s="37" t="n">
        <x:v>3235</x:v>
      </x:c>
      <x:c r="H7" s="46" t="str">
        <x:v>Median fill nếu thiếu; IQR capping, không xóa dòng</x:v>
      </x:c>
    </x:row>
    <x:row r="10">
      <x:c r="A10" s="76" t="str">
        <x:v>Diễn giải quy trình trong template</x:v>
      </x:c>
    </x:row>
    <x:row r="11" ht="34" customHeight="1">
      <x:c r="A11" s="80" t="str">
        <x:v>1. Điền khuyết</x:v>
      </x:c>
      <x:c r="B11" s="81" t="str">
        <x:v>Template có cả cột fill_mean và fill_median; dữ liệu thực tế không có thiếu nên cả hai giữ nguyên.</x:v>
      </x:c>
    </x:row>
    <x:row r="12" ht="34" customHeight="1">
      <x:c r="A12" s="82" t="str">
        <x:v>2. Phát hiện outlier</x:v>
      </x:c>
      <x:c r="B12" s="83" t="str">
        <x:v>Ngưỡng Q1 − 1,5×IQR và Q3 + 1,5×IQR.</x:v>
      </x:c>
    </x:row>
    <x:row r="13" ht="34" customHeight="1">
      <x:c r="A13" s="82" t="str">
        <x:v>3. Xử lý outlier</x:v>
      </x:c>
      <x:c r="B13" s="83" t="str">
        <x:v>Capping/Winsorization: nhỏ hơn ngưỡng dưới đưa lên ngưỡng dưới; lớn hơn ngưỡng trên đưa xuống ngưỡng trên.</x:v>
      </x:c>
    </x:row>
    <x:row r="14" ht="34" customHeight="1">
      <x:c r="A14" s="82" t="str">
        <x:v>4. Bảo toàn dữ liệu</x:v>
      </x:c>
      <x:c r="B14" s="83" t="str">
        <x:v>Không xóa dòng: 45.211 dòng trước và sau.</x:v>
      </x:c>
    </x:row>
    <x:row r="15" ht="34" customHeight="1">
      <x:c r="A15" s="82" t="str">
        <x:v>5. Phạm vi</x:v>
      </x:c>
      <x:c r="B15" s="83" t="str">
        <x:v>Workbook mẫu chỉ gồm age, balance, duration; chưa bao gồm job và y.</x:v>
      </x:c>
    </x:row>
    <x:row r="16" ht="34" customHeight="1">
      <x:c r="A16" s="84" t="str">
        <x:v>6. Kết luận</x:v>
      </x:c>
      <x:c r="B16" s="85" t="str">
        <x:v>Thay đổi thống kê đến từ capping, không phải từ điền khuyết.</x:v>
      </x:c>
    </x:row>
  </x:sheetData>
  <x:mergeCells>
    <x:mergeCell ref="A1:H2"/>
    <x:mergeCell ref="A10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1" ht="30" customHeight="1">
      <x:c r="A1" s="4" t="str">
        <x:v>KIỂM TOÁN SCALING TRONG TEMPLATE</x:v>
      </x:c>
    </x:row>
    <x:row r="2" ht="30" customHeight="1"/>
    <x:row r="4">
      <x:c r="A4" s="25" t="str">
        <x:v>Biến</x:v>
      </x:c>
      <x:c r="B4" s="25" t="str">
        <x:v>Min–Max min</x:v>
      </x:c>
      <x:c r="C4" s="25" t="str">
        <x:v>Min–Max max</x:v>
      </x:c>
      <x:c r="D4" s="25" t="str">
        <x:v>Kỳ vọng</x:v>
      </x:c>
      <x:c r="E4" s="25" t="str">
        <x:v>Z mean</x:v>
      </x:c>
      <x:c r="F4" s="25" t="str">
        <x:v>Z std</x:v>
      </x:c>
      <x:c r="G4" s="25" t="str">
        <x:v>Kỳ vọng</x:v>
      </x:c>
      <x:c r="H4" s="25" t="str">
        <x:v>Đạt Min–Max?</x:v>
      </x:c>
      <x:c r="I4" s="25" t="str">
        <x:v>Đạt Z-score?</x:v>
      </x:c>
      <x:c r="J4" s="25" t="str">
        <x:v>Nhận xét</x:v>
      </x:c>
    </x:row>
    <x:row r="5">
      <x:c r="A5" s="26" t="str">
        <x:v>age</x:v>
      </x:c>
      <x:c r="B5" s="86" t="n">
        <x:v>0</x:v>
      </x:c>
      <x:c r="C5" s="86" t="n">
        <x:v>0.6818181818181818</x:v>
      </x:c>
      <x:c r="D5" s="27" t="str">
        <x:v>[0, 1]</x:v>
      </x:c>
      <x:c r="E5" s="86" t="n">
        <x:v>-0.006406159236091162</x:v>
      </x:c>
      <x:c r="F5" s="86" t="n">
        <x:v>0.9789069570092864</x:v>
      </x:c>
      <x:c r="G5" s="27" t="str">
        <x:v>mean=0; std=1</x:v>
      </x:c>
      <x:c r="H5" s="95" t="str">
        <x:v>Chưa đạt</x:v>
      </x:c>
      <x:c r="I5" s="95" t="str">
        <x:v>Chưa đạt</x:v>
      </x:c>
      <x:c r="J5" s="44" t="str">
        <x:v>Template dùng min/max và mean/std của biến gốc cho dữ liệu đã capped</x:v>
      </x:c>
    </x:row>
    <x:row r="6">
      <x:c r="A6" s="29" t="str">
        <x:v>balance</x:v>
      </x:c>
      <x:c r="B6" s="87" t="n">
        <x:v>0.05499064877526193</x:v>
      </x:c>
      <x:c r="C6" s="87" t="n">
        <x:v>0.10423437982314383</x:v>
      </x:c>
      <x:c r="D6" s="30" t="str">
        <x:v>[0, 1]</x:v>
      </x:c>
      <x:c r="E6" s="87" t="n">
        <x:v>-0.1407546943718818</x:v>
      </x:c>
      <x:c r="F6" s="87" t="n">
        <x:v>0.3864836970885735</x:v>
      </x:c>
      <x:c r="G6" s="30" t="str">
        <x:v>mean=0; std=1</x:v>
      </x:c>
      <x:c r="H6" s="96" t="str">
        <x:v>Chưa đạt</x:v>
      </x:c>
      <x:c r="I6" s="96" t="str">
        <x:v>Chưa đạt</x:v>
      </x:c>
      <x:c r="J6" s="45" t="str">
        <x:v>Template dùng min/max và mean/std của biến gốc cho dữ liệu đã capped</x:v>
      </x:c>
    </x:row>
    <x:row r="7">
      <x:c r="A7" s="32" t="str">
        <x:v>duration</x:v>
      </x:c>
      <x:c r="B7" s="88" t="n">
        <x:v>0</x:v>
      </x:c>
      <x:c r="C7" s="88" t="n">
        <x:v>0.1307442049613664</x:v>
      </x:c>
      <x:c r="D7" s="33" t="str">
        <x:v>[0, 1]</x:v>
      </x:c>
      <x:c r="E7" s="88" t="n">
        <x:v>-0.09017966941640519</x:v>
      </x:c>
      <x:c r="F7" s="88" t="n">
        <x:v>0.6863257823932706</x:v>
      </x:c>
      <x:c r="G7" s="33" t="str">
        <x:v>mean=0; std=1</x:v>
      </x:c>
      <x:c r="H7" s="97" t="str">
        <x:v>Chưa đạt</x:v>
      </x:c>
      <x:c r="I7" s="97" t="str">
        <x:v>Chưa đạt</x:v>
      </x:c>
      <x:c r="J7" s="46" t="str">
        <x:v>Template dùng min/max và mean/std của biến gốc cho dữ liệu đã capped</x:v>
      </x:c>
    </x:row>
    <x:row r="10">
      <x:c r="A10" s="99" t="str">
        <x:v>Khuyến nghị sửa công thức scaling</x:v>
      </x:c>
    </x:row>
    <x:row r="11" ht="34" customHeight="1">
      <x:c r="A11" s="102" t="str">
        <x:v>Min–Max đúng sau capping</x:v>
      </x:c>
      <x:c r="B11" s="44" t="str">
        <x:v>(x_capped − MIN(cột_capped)) / (MAX(cột_capped) − MIN(cột_capped))</x:v>
      </x:c>
    </x:row>
    <x:row r="12" ht="34" customHeight="1">
      <x:c r="A12" s="103" t="str">
        <x:v>Z-score đúng sau capping</x:v>
      </x:c>
      <x:c r="B12" s="45" t="str">
        <x:v>(x_capped − AVERAGE(cột_capped)) / STDEV.P(cột_capped)</x:v>
      </x:c>
    </x:row>
    <x:row r="13" ht="34" customHeight="1">
      <x:c r="A13" s="103" t="str">
        <x:v>Kết quả mong đợi</x:v>
      </x:c>
      <x:c r="B13" s="45" t="str">
        <x:v>Min–Max có min=0, max=1; Z-score có mean≈0, std≈1.</x:v>
      </x:c>
    </x:row>
    <x:row r="14" ht="34" customHeight="1">
      <x:c r="A14" s="104" t="str">
        <x:v>Lưu ý chống leakage</x:v>
      </x:c>
      <x:c r="B14" s="46" t="str">
        <x:v>Fit các tham số trên tập train, rồi dùng đúng tham số đó cho validation/test.</x:v>
      </x:c>
    </x:row>
  </x:sheetData>
  <x:mergeCells>
    <x:mergeCell ref="A1:J2"/>
    <x:mergeCell ref="A10:J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4" t="str">
        <x:v>TRỰC QUAN HÓA THAY ĐỔI CHỈ SỐ</x:v>
      </x:c>
    </x:row>
    <x:row r="2" ht="30" customHeight="1"/>
    <x:row r="4" ht="22" customHeight="1">
      <x:c r="A4" s="25" t="str">
        <x:v>Biến</x:v>
      </x:c>
      <x:c r="B4" s="25" t="str">
        <x:v>Biến thô</x:v>
      </x:c>
      <x:c r="C4" s="25" t="str">
        <x:v>Biến sạch</x:v>
      </x:c>
      <x:c r="E4" s="25" t="str">
        <x:v>Biến</x:v>
      </x:c>
      <x:c r="F4" s="25" t="str">
        <x:v>Biến thô</x:v>
      </x:c>
      <x:c r="G4" s="25" t="str">
        <x:v>Biến sạch</x:v>
      </x:c>
      <x:c r="I4" s="25" t="str">
        <x:v>Biến</x:v>
      </x:c>
      <x:c r="J4" s="25" t="str">
        <x:v>Biến thô</x:v>
      </x:c>
      <x:c r="K4" s="25" t="str">
        <x:v>Biến sạch</x:v>
      </x:c>
    </x:row>
    <x:row r="5" ht="22" customHeight="1">
      <x:c r="A5" t="str">
        <x:v>age</x:v>
      </x:c>
      <x:c r="B5" s="105" t="n">
        <x:v>10.61876204097542</x:v>
      </x:c>
      <x:c r="C5" s="105" t="n">
        <x:v>10.394894997172232</x:v>
      </x:c>
      <x:c r="E5" t="str">
        <x:v>age</x:v>
      </x:c>
      <x:c r="F5" s="105" t="n">
        <x:v>0.6848179257252598</x:v>
      </x:c>
      <x:c r="G5" s="105" t="n">
        <x:v>0.5297147307121478</x:v>
      </x:c>
      <x:c r="I5" t="str">
        <x:v>age</x:v>
      </x:c>
      <x:c r="J5" s="106" t="n">
        <x:v>487</x:v>
      </x:c>
      <x:c r="K5" s="106" t="n">
        <x:v>0</x:v>
      </x:c>
    </x:row>
    <x:row r="6" ht="22" customHeight="1">
      <x:c r="A6" t="str">
        <x:v>balance</x:v>
      </x:c>
      <x:c r="B6" s="105" t="n">
        <x:v>3044.7658291685175</x:v>
      </x:c>
      <x:c r="C6" s="105" t="n">
        <x:v>1176.7653686468338</x:v>
      </x:c>
      <x:c r="E6" t="str">
        <x:v>balance</x:v>
      </x:c>
      <x:c r="F6" s="105" t="n">
        <x:v>8.360308326166326</x:v>
      </x:c>
      <x:c r="G6" s="105" t="n">
        <x:v>1.0978021758668197</x:v>
      </x:c>
      <x:c r="I6" t="str">
        <x:v>balance</x:v>
      </x:c>
      <x:c r="J6" s="106" t="n">
        <x:v>4729</x:v>
      </x:c>
      <x:c r="K6" s="106" t="n">
        <x:v>0</x:v>
      </x:c>
    </x:row>
    <x:row r="7" ht="22" customHeight="1">
      <x:c r="A7" t="str">
        <x:v>duration</x:v>
      </x:c>
      <x:c r="B7" s="105" t="n">
        <x:v>257.5278122651719</x:v>
      </x:c>
      <x:c r="C7" s="105" t="n">
        <x:v>176.74993197438613</x:v>
      </x:c>
      <x:c r="E7" t="str">
        <x:v>duration</x:v>
      </x:c>
      <x:c r="F7" s="105" t="n">
        <x:v>3.144318099423455</x:v>
      </x:c>
      <x:c r="G7" s="105" t="n">
        <x:v>1.037573684637408</x:v>
      </x:c>
      <x:c r="I7" t="str">
        <x:v>duration</x:v>
      </x:c>
      <x:c r="J7" s="106" t="n">
        <x:v>3235</x:v>
      </x:c>
      <x:c r="K7" s="106" t="n">
        <x:v>0</x:v>
      </x:c>
    </x:row>
  </x:sheetData>
  <x:mergeCells>
    <x:mergeCell ref="A1:M2"/>
  </x:mergeCells>
  <x:pageMargins left="0.7" right="0.7" top="0.75" bottom="0.75" header="0.3" footer="0.3"/>
  <x:drawing xmlns:r="http://schemas.openxmlformats.org/officeDocument/2006/relationships" r:id="R5972d381441e4409"/>
</x:worksheet>
</file>