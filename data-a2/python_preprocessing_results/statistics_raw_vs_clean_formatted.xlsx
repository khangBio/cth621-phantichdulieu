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T-00913-VNPT\SAU_DAI_HOC\PHAN_TICH_DU_LIEU\cth621-phantichdulieu-01\data-a2\python_preprocessing_results\"/>
    </mc:Choice>
  </mc:AlternateContent>
  <bookViews>
    <workbookView xWindow="0" yWindow="0" windowWidth="14340" windowHeight="9300" activeTab="1"/>
  </bookViews>
  <sheets>
    <sheet name="Formatted Table" sheetId="1" r:id="rId1"/>
    <sheet name="Source CSV" sheetId="2" r:id="rId2"/>
  </sheets>
  <calcPr calcId="152511"/>
</workbook>
</file>

<file path=xl/calcChain.xml><?xml version="1.0" encoding="utf-8"?>
<calcChain xmlns="http://schemas.openxmlformats.org/spreadsheetml/2006/main">
  <c r="J14" i="1" l="1"/>
  <c r="G14" i="1"/>
  <c r="D14" i="1"/>
  <c r="J13" i="1"/>
  <c r="G13" i="1"/>
  <c r="D13" i="1"/>
  <c r="J12" i="1"/>
  <c r="G12" i="1"/>
  <c r="D12" i="1"/>
  <c r="J11" i="1"/>
  <c r="G11" i="1"/>
  <c r="D11" i="1"/>
  <c r="J10" i="1"/>
  <c r="G10" i="1"/>
  <c r="D10" i="1"/>
  <c r="J9" i="1"/>
  <c r="G9" i="1"/>
  <c r="D9" i="1"/>
  <c r="J8" i="1"/>
  <c r="G8" i="1"/>
  <c r="D8" i="1"/>
  <c r="J7" i="1"/>
  <c r="G7" i="1"/>
  <c r="D7" i="1"/>
  <c r="J6" i="1"/>
  <c r="G6" i="1"/>
  <c r="D6" i="1"/>
  <c r="J5" i="1"/>
  <c r="G5" i="1"/>
  <c r="D5" i="1"/>
  <c r="J4" i="1"/>
  <c r="G4" i="1"/>
  <c r="D4" i="1"/>
</calcChain>
</file>

<file path=xl/sharedStrings.xml><?xml version="1.0" encoding="utf-8"?>
<sst xmlns="http://schemas.openxmlformats.org/spreadsheetml/2006/main" count="49" uniqueCount="33">
  <si>
    <t>Bảng 3.11: So sánh thống kê biến thô và biến sạch trong Bank Marketing Dataset</t>
  </si>
  <si>
    <t>Chỉ số</t>
  </si>
  <si>
    <t>Age raw</t>
  </si>
  <si>
    <t>Age clean</t>
  </si>
  <si>
    <t>Thay đổi</t>
  </si>
  <si>
    <t>Balance raw</t>
  </si>
  <si>
    <t>Balance clean</t>
  </si>
  <si>
    <t>Duration raw</t>
  </si>
  <si>
    <t>Duration clean</t>
  </si>
  <si>
    <t>Missing count</t>
  </si>
  <si>
    <t>Mean</t>
  </si>
  <si>
    <t>Median</t>
  </si>
  <si>
    <t>Std</t>
  </si>
  <si>
    <t>Min</t>
  </si>
  <si>
    <t>Q1</t>
  </si>
  <si>
    <t>Q3</t>
  </si>
  <si>
    <t>Max</t>
  </si>
  <si>
    <t>Lower bound</t>
  </si>
  <si>
    <t>Upper bound</t>
  </si>
  <si>
    <t>Outlier count</t>
  </si>
  <si>
    <t>Ghi chú: Biến sạch được xử lý bằng IQR capping/winsorization; cột “Thay đổi” = giá trị clean - giá trị raw.</t>
  </si>
  <si>
    <t>Ý nghĩa nhanh: Outlier_count về 0 sau capping; Std của balance và duration giảm mạnh, cho thấy dữ liệu bớt phân tán và ổn định hơn trước khi mô hình hóa.</t>
  </si>
  <si>
    <t>Variable</t>
  </si>
  <si>
    <t>State</t>
  </si>
  <si>
    <t>Missing_count</t>
  </si>
  <si>
    <t>Lower_bound</t>
  </si>
  <si>
    <t>Upper_bound</t>
  </si>
  <si>
    <t>Outlier_count</t>
  </si>
  <si>
    <t>age</t>
  </si>
  <si>
    <t>Raw</t>
  </si>
  <si>
    <t>Clean_capped</t>
  </si>
  <si>
    <t>balance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</si>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</sst>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1"/>
      <color rgb="FF111827"/>
      <name val="Carlito"/>
    </font>
    <font>
      <b/>
      <sz val="15"/>
      <color rgb="FF111111"/>
      <name val="Times New Roman"/>
    </font>
    <font>
      <b/>
      <sz val="11"/>
      <color rgb="FF111111"/>
      <name val="Times New Roman"/>
    </font>
    <font>
      <b/>
      <sz val="11"/>
      <name val="Times New Roman"/>
    </font>
    <font>
      <sz val="11"/>
      <name val="Times New Roman"/>
    </font>
    <font>
      <i/>
      <sz val="11"/>
      <color rgb="FF37415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2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medium">
        <color rgb="FF000000"/>
      </bottom>
      <diagonal/>
    </border>
    <border>
      <left style="thin">
        <color rgb="FFA3A3A3"/>
      </left>
      <right/>
      <top style="medium">
        <color rgb="FF000000"/>
      </top>
      <bottom style="medium">
        <color rgb="FF000000"/>
      </bottom>
      <diagonal/>
    </border>
    <border>
      <left style="thin">
        <color rgb="FFA3A3A3"/>
      </left>
      <right/>
      <top/>
      <bottom style="thin">
        <color rgb="FFE5E7EB"/>
      </bottom>
      <diagonal/>
    </border>
    <border>
      <left style="thin">
        <color rgb="FFA3A3A3"/>
      </left>
      <right/>
      <top style="thin">
        <color rgb="FFE5E7EB"/>
      </top>
      <bottom style="thin">
        <color rgb="FFE5E7EB"/>
      </bottom>
      <diagonal/>
    </border>
    <border>
      <left style="thin">
        <color rgb="FFA3A3A3"/>
      </left>
      <right/>
      <top style="thin">
        <color rgb="FFE5E7EB"/>
      </top>
      <bottom style="medium">
        <color rgb="FF000000"/>
      </bottom>
      <diagonal/>
    </border>
    <border>
      <left/>
      <right style="thin">
        <color rgb="FFA3A3A3"/>
      </right>
      <top style="medium">
        <color rgb="FF000000"/>
      </top>
      <bottom style="medium">
        <color rgb="FF000000"/>
      </bottom>
      <diagonal/>
    </border>
    <border>
      <left/>
      <right style="thin">
        <color rgb="FFA3A3A3"/>
      </right>
      <top/>
      <bottom style="thin">
        <color rgb="FFE5E7EB"/>
      </bottom>
      <diagonal/>
    </border>
    <border>
      <left/>
      <right style="thin">
        <color rgb="FFA3A3A3"/>
      </right>
      <top style="thin">
        <color rgb="FFE5E7EB"/>
      </top>
      <bottom style="thin">
        <color rgb="FFE5E7EB"/>
      </bottom>
      <diagonal/>
    </border>
    <border>
      <left/>
      <right style="thin">
        <color rgb="FFA3A3A3"/>
      </right>
      <top style="thin">
        <color rgb="FFE5E7EB"/>
      </top>
      <bottom style="medium">
        <color rgb="FF000000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NumberFormat="1" applyFont="1" applyFill="1" applyBorder="1"/>
    <xf numFmtId="0" fontId="0" fillId="0" borderId="1" xfId="0" applyNumberFormat="1" applyFont="1" applyFill="1" applyBorder="1"/>
    <xf numFmtId="2" fontId="0" fillId="0" borderId="1" xfId="0" applyNumberFormat="1" applyFont="1" applyFill="1" applyBorder="1"/>
    <xf numFmtId="0" fontId="3" fillId="3" borderId="2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left"/>
    </xf>
    <xf numFmtId="0" fontId="4" fillId="0" borderId="4" xfId="0" applyNumberFormat="1" applyFont="1" applyFill="1" applyBorder="1" applyAlignment="1">
      <alignment horizontal="left"/>
    </xf>
    <xf numFmtId="0" fontId="4" fillId="0" borderId="5" xfId="0" applyNumberFormat="1" applyFont="1" applyFill="1" applyBorder="1" applyAlignment="1">
      <alignment horizontal="left"/>
    </xf>
    <xf numFmtId="1" fontId="5" fillId="0" borderId="3" xfId="0" applyNumberFormat="1" applyFont="1" applyFill="1" applyBorder="1" applyAlignment="1">
      <alignment horizontal="right"/>
    </xf>
    <xf numFmtId="1" fontId="5" fillId="0" borderId="5" xfId="0" applyNumberFormat="1" applyFont="1" applyFill="1" applyBorder="1" applyAlignment="1">
      <alignment horizontal="right"/>
    </xf>
    <xf numFmtId="2" fontId="5" fillId="0" borderId="4" xfId="0" applyNumberFormat="1" applyFont="1" applyFill="1" applyBorder="1" applyAlignment="1">
      <alignment horizontal="right"/>
    </xf>
    <xf numFmtId="0" fontId="3" fillId="3" borderId="6" xfId="0" applyNumberFormat="1" applyFont="1" applyFill="1" applyBorder="1" applyAlignment="1">
      <alignment horizontal="center"/>
    </xf>
    <xf numFmtId="1" fontId="5" fillId="0" borderId="7" xfId="0" applyNumberFormat="1" applyFont="1" applyFill="1" applyBorder="1" applyAlignment="1">
      <alignment horizontal="right"/>
    </xf>
    <xf numFmtId="2" fontId="5" fillId="0" borderId="8" xfId="0" applyNumberFormat="1" applyFont="1" applyFill="1" applyBorder="1" applyAlignment="1">
      <alignment horizontal="right"/>
    </xf>
    <xf numFmtId="1" fontId="5" fillId="0" borderId="9" xfId="0" applyNumberFormat="1" applyFont="1" applyFill="1" applyBorder="1" applyAlignment="1">
      <alignment horizontal="right"/>
    </xf>
    <xf numFmtId="0" fontId="3" fillId="3" borderId="10" xfId="0" applyNumberFormat="1" applyFont="1" applyFill="1" applyBorder="1" applyAlignment="1">
      <alignment horizontal="center"/>
    </xf>
    <xf numFmtId="1" fontId="5" fillId="0" borderId="11" xfId="0" applyNumberFormat="1" applyFont="1" applyFill="1" applyBorder="1" applyAlignment="1">
      <alignment horizontal="right"/>
    </xf>
    <xf numFmtId="2" fontId="5" fillId="0" borderId="12" xfId="0" applyNumberFormat="1" applyFont="1" applyFill="1" applyBorder="1" applyAlignment="1">
      <alignment horizontal="right"/>
    </xf>
    <xf numFmtId="1" fontId="5" fillId="0" borderId="13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0" fillId="0" borderId="0" xfId="0"/>
    <xf numFmtId="0" fontId="6" fillId="4" borderId="14" xfId="0" applyNumberFormat="1" applyFont="1" applyFill="1" applyBorder="1" applyAlignment="1">
      <alignment wrapText="1"/>
    </xf>
    <xf numFmtId="0" fontId="6" fillId="4" borderId="15" xfId="0" applyNumberFormat="1" applyFont="1" applyFill="1" applyBorder="1" applyAlignment="1">
      <alignment wrapText="1"/>
    </xf>
    <xf numFmtId="0" fontId="6" fillId="4" borderId="16" xfId="0" applyNumberFormat="1" applyFont="1" applyFill="1" applyBorder="1" applyAlignment="1">
      <alignment wrapText="1"/>
    </xf>
    <xf numFmtId="0" fontId="6" fillId="4" borderId="17" xfId="0" applyNumberFormat="1" applyFont="1" applyFill="1" applyBorder="1" applyAlignment="1">
      <alignment wrapText="1"/>
    </xf>
    <xf numFmtId="0" fontId="6" fillId="4" borderId="0" xfId="0" applyNumberFormat="1" applyFont="1" applyFill="1" applyBorder="1" applyAlignment="1">
      <alignment wrapText="1"/>
    </xf>
    <xf numFmtId="0" fontId="6" fillId="4" borderId="18" xfId="0" applyNumberFormat="1" applyFont="1" applyFill="1" applyBorder="1" applyAlignment="1">
      <alignment wrapText="1"/>
    </xf>
    <xf numFmtId="0" fontId="6" fillId="4" borderId="19" xfId="0" applyNumberFormat="1" applyFont="1" applyFill="1" applyBorder="1" applyAlignment="1">
      <alignment wrapText="1"/>
    </xf>
    <xf numFmtId="0" fontId="6" fillId="4" borderId="20" xfId="0" applyNumberFormat="1" applyFont="1" applyFill="1" applyBorder="1" applyAlignment="1">
      <alignment wrapText="1"/>
    </xf>
    <xf numFmtId="0" fontId="6" fillId="4" borderId="2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workbookViewId="0">
      <selection activeCell="H12" sqref="H12"/>
    </sheetView>
  </sheetViews>
  <sheetFormatPr defaultRowHeight="14.25"/>
  <cols>
    <col min="1" max="1" width="16" customWidth="1"/>
    <col min="2" max="10" width="12" customWidth="1"/>
  </cols>
  <sheetData>
    <row r="1" spans="1:10" ht="27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3" spans="1:10">
      <c r="A3" s="4" t="s">
        <v>1</v>
      </c>
      <c r="B3" s="11" t="s">
        <v>2</v>
      </c>
      <c r="C3" s="4" t="s">
        <v>3</v>
      </c>
      <c r="D3" s="4" t="s">
        <v>4</v>
      </c>
      <c r="E3" s="11" t="s">
        <v>5</v>
      </c>
      <c r="F3" s="4" t="s">
        <v>6</v>
      </c>
      <c r="G3" s="4" t="s">
        <v>4</v>
      </c>
      <c r="H3" s="11" t="s">
        <v>7</v>
      </c>
      <c r="I3" s="4" t="s">
        <v>8</v>
      </c>
      <c r="J3" s="15" t="s">
        <v>4</v>
      </c>
    </row>
    <row r="4" spans="1:10" ht="15">
      <c r="A4" s="5" t="s">
        <v>9</v>
      </c>
      <c r="B4" s="12">
        <v>0</v>
      </c>
      <c r="C4" s="8">
        <v>0</v>
      </c>
      <c r="D4" s="8">
        <f t="shared" ref="D4:D14" si="0">C4-B4</f>
        <v>0</v>
      </c>
      <c r="E4" s="12">
        <v>0</v>
      </c>
      <c r="F4" s="8">
        <v>0</v>
      </c>
      <c r="G4" s="8">
        <f t="shared" ref="G4:G14" si="1">F4-E4</f>
        <v>0</v>
      </c>
      <c r="H4" s="12">
        <v>0</v>
      </c>
      <c r="I4" s="8">
        <v>0</v>
      </c>
      <c r="J4" s="16">
        <f t="shared" ref="J4:J14" si="2">I4-H4</f>
        <v>0</v>
      </c>
    </row>
    <row r="5" spans="1:10" ht="15">
      <c r="A5" s="6" t="s">
        <v>10</v>
      </c>
      <c r="B5" s="13">
        <v>40.936210214328369</v>
      </c>
      <c r="C5" s="10">
        <v>40.868184733803723</v>
      </c>
      <c r="D5" s="10">
        <f t="shared" si="0"/>
        <v>-6.8025480524646298E-2</v>
      </c>
      <c r="E5" s="13">
        <v>1362.2720576850766</v>
      </c>
      <c r="F5" s="10">
        <v>933.70697396651258</v>
      </c>
      <c r="G5" s="10">
        <f t="shared" si="1"/>
        <v>-428.56508371856398</v>
      </c>
      <c r="H5" s="13">
        <v>258.16307978146909</v>
      </c>
      <c r="I5" s="10">
        <v>234.93930680586584</v>
      </c>
      <c r="J5" s="17">
        <f t="shared" si="2"/>
        <v>-23.223772975603254</v>
      </c>
    </row>
    <row r="6" spans="1:10" ht="15">
      <c r="A6" s="6" t="s">
        <v>11</v>
      </c>
      <c r="B6" s="13">
        <v>39</v>
      </c>
      <c r="C6" s="10">
        <v>39</v>
      </c>
      <c r="D6" s="10">
        <f t="shared" si="0"/>
        <v>0</v>
      </c>
      <c r="E6" s="13">
        <v>448</v>
      </c>
      <c r="F6" s="10">
        <v>448</v>
      </c>
      <c r="G6" s="10">
        <f t="shared" si="1"/>
        <v>0</v>
      </c>
      <c r="H6" s="13">
        <v>180</v>
      </c>
      <c r="I6" s="10">
        <v>180</v>
      </c>
      <c r="J6" s="17">
        <f t="shared" si="2"/>
        <v>0</v>
      </c>
    </row>
    <row r="7" spans="1:10" ht="15">
      <c r="A7" s="6" t="s">
        <v>12</v>
      </c>
      <c r="B7" s="13">
        <v>10.618762040975421</v>
      </c>
      <c r="C7" s="10">
        <v>10.394894997172232</v>
      </c>
      <c r="D7" s="10">
        <f t="shared" si="0"/>
        <v>-0.22386704380318889</v>
      </c>
      <c r="E7" s="13">
        <v>3044.7658291685175</v>
      </c>
      <c r="F7" s="10">
        <v>1176.7653686468338</v>
      </c>
      <c r="G7" s="10">
        <f t="shared" si="1"/>
        <v>-1868.0004605216836</v>
      </c>
      <c r="H7" s="13">
        <v>257.52781226517192</v>
      </c>
      <c r="I7" s="10">
        <v>176.74993197438613</v>
      </c>
      <c r="J7" s="17">
        <f t="shared" si="2"/>
        <v>-80.777880290785788</v>
      </c>
    </row>
    <row r="8" spans="1:10" ht="15">
      <c r="A8" s="6" t="s">
        <v>13</v>
      </c>
      <c r="B8" s="13">
        <v>18</v>
      </c>
      <c r="C8" s="10">
        <v>18</v>
      </c>
      <c r="D8" s="10">
        <f t="shared" si="0"/>
        <v>0</v>
      </c>
      <c r="E8" s="13">
        <v>-8019</v>
      </c>
      <c r="F8" s="10">
        <v>-1962</v>
      </c>
      <c r="G8" s="10">
        <f t="shared" si="1"/>
        <v>6057</v>
      </c>
      <c r="H8" s="13">
        <v>0</v>
      </c>
      <c r="I8" s="10">
        <v>0</v>
      </c>
      <c r="J8" s="17">
        <f t="shared" si="2"/>
        <v>0</v>
      </c>
    </row>
    <row r="9" spans="1:10" ht="15">
      <c r="A9" s="6" t="s">
        <v>14</v>
      </c>
      <c r="B9" s="13">
        <v>33</v>
      </c>
      <c r="C9" s="10">
        <v>33</v>
      </c>
      <c r="D9" s="10">
        <f t="shared" si="0"/>
        <v>0</v>
      </c>
      <c r="E9" s="13">
        <v>72</v>
      </c>
      <c r="F9" s="10">
        <v>72</v>
      </c>
      <c r="G9" s="10">
        <f t="shared" si="1"/>
        <v>0</v>
      </c>
      <c r="H9" s="13">
        <v>103</v>
      </c>
      <c r="I9" s="10">
        <v>103</v>
      </c>
      <c r="J9" s="17">
        <f t="shared" si="2"/>
        <v>0</v>
      </c>
    </row>
    <row r="10" spans="1:10" ht="15">
      <c r="A10" s="6" t="s">
        <v>15</v>
      </c>
      <c r="B10" s="13">
        <v>48</v>
      </c>
      <c r="C10" s="10">
        <v>48</v>
      </c>
      <c r="D10" s="10">
        <f t="shared" si="0"/>
        <v>0</v>
      </c>
      <c r="E10" s="13">
        <v>1428</v>
      </c>
      <c r="F10" s="10">
        <v>1428</v>
      </c>
      <c r="G10" s="10">
        <f t="shared" si="1"/>
        <v>0</v>
      </c>
      <c r="H10" s="13">
        <v>319</v>
      </c>
      <c r="I10" s="10">
        <v>319</v>
      </c>
      <c r="J10" s="17">
        <f t="shared" si="2"/>
        <v>0</v>
      </c>
    </row>
    <row r="11" spans="1:10" ht="15">
      <c r="A11" s="6" t="s">
        <v>16</v>
      </c>
      <c r="B11" s="13">
        <v>95</v>
      </c>
      <c r="C11" s="10">
        <v>70.5</v>
      </c>
      <c r="D11" s="10">
        <f t="shared" si="0"/>
        <v>-24.5</v>
      </c>
      <c r="E11" s="13">
        <v>102127</v>
      </c>
      <c r="F11" s="10">
        <v>3462</v>
      </c>
      <c r="G11" s="10">
        <f t="shared" si="1"/>
        <v>-98665</v>
      </c>
      <c r="H11" s="13">
        <v>4918</v>
      </c>
      <c r="I11" s="10">
        <v>643</v>
      </c>
      <c r="J11" s="17">
        <f t="shared" si="2"/>
        <v>-4275</v>
      </c>
    </row>
    <row r="12" spans="1:10" ht="15">
      <c r="A12" s="6" t="s">
        <v>17</v>
      </c>
      <c r="B12" s="13">
        <v>10.5</v>
      </c>
      <c r="C12" s="10">
        <v>10.5</v>
      </c>
      <c r="D12" s="10">
        <f t="shared" si="0"/>
        <v>0</v>
      </c>
      <c r="E12" s="13">
        <v>-1962</v>
      </c>
      <c r="F12" s="10">
        <v>-1962</v>
      </c>
      <c r="G12" s="10">
        <f t="shared" si="1"/>
        <v>0</v>
      </c>
      <c r="H12" s="13">
        <v>-221</v>
      </c>
      <c r="I12" s="10">
        <v>-221</v>
      </c>
      <c r="J12" s="17">
        <f t="shared" si="2"/>
        <v>0</v>
      </c>
    </row>
    <row r="13" spans="1:10" ht="15">
      <c r="A13" s="6" t="s">
        <v>18</v>
      </c>
      <c r="B13" s="13">
        <v>70.5</v>
      </c>
      <c r="C13" s="10">
        <v>70.5</v>
      </c>
      <c r="D13" s="10">
        <f t="shared" si="0"/>
        <v>0</v>
      </c>
      <c r="E13" s="13">
        <v>3462</v>
      </c>
      <c r="F13" s="10">
        <v>3462</v>
      </c>
      <c r="G13" s="10">
        <f t="shared" si="1"/>
        <v>0</v>
      </c>
      <c r="H13" s="13">
        <v>643</v>
      </c>
      <c r="I13" s="10">
        <v>643</v>
      </c>
      <c r="J13" s="17">
        <f t="shared" si="2"/>
        <v>0</v>
      </c>
    </row>
    <row r="14" spans="1:10" ht="15">
      <c r="A14" s="7" t="s">
        <v>19</v>
      </c>
      <c r="B14" s="14">
        <v>487</v>
      </c>
      <c r="C14" s="9">
        <v>0</v>
      </c>
      <c r="D14" s="9">
        <f t="shared" si="0"/>
        <v>-487</v>
      </c>
      <c r="E14" s="14">
        <v>4729</v>
      </c>
      <c r="F14" s="9">
        <v>0</v>
      </c>
      <c r="G14" s="9">
        <f t="shared" si="1"/>
        <v>-4729</v>
      </c>
      <c r="H14" s="14">
        <v>3235</v>
      </c>
      <c r="I14" s="9">
        <v>0</v>
      </c>
      <c r="J14" s="18">
        <f t="shared" si="2"/>
        <v>-3235</v>
      </c>
    </row>
    <row r="16" spans="1:10" ht="15">
      <c r="A16" s="21" t="s">
        <v>20</v>
      </c>
      <c r="B16" s="22"/>
      <c r="C16" s="22"/>
      <c r="D16" s="22"/>
      <c r="E16" s="22"/>
      <c r="F16" s="22"/>
      <c r="G16" s="22"/>
      <c r="H16" s="22"/>
      <c r="I16" s="22"/>
      <c r="J16" s="23"/>
    </row>
    <row r="17" spans="1:10" ht="15">
      <c r="A17" s="24" t="s">
        <v>21</v>
      </c>
      <c r="B17" s="25"/>
      <c r="C17" s="25"/>
      <c r="D17" s="25"/>
      <c r="E17" s="25"/>
      <c r="F17" s="25"/>
      <c r="G17" s="25"/>
      <c r="H17" s="25"/>
      <c r="I17" s="25"/>
      <c r="J17" s="26"/>
    </row>
    <row r="18" spans="1:10" ht="15">
      <c r="A18" s="27"/>
      <c r="B18" s="28"/>
      <c r="C18" s="28"/>
      <c r="D18" s="28"/>
      <c r="E18" s="28"/>
      <c r="F18" s="28"/>
      <c r="G18" s="28"/>
      <c r="H18" s="28"/>
      <c r="I18" s="28"/>
      <c r="J18" s="29"/>
    </row>
  </sheetData>
  <mergeCells count="4">
    <mergeCell ref="A1:J1"/>
    <mergeCell ref="A16:J16"/>
    <mergeCell ref="A17:J17"/>
    <mergeCell ref="A18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showGridLines="0" tabSelected="1" workbookViewId="0">
      <selection activeCell="B41" sqref="B41"/>
    </sheetView>
  </sheetViews>
  <sheetFormatPr defaultRowHeight="14.25"/>
  <cols>
    <col min="1" max="13" width="14" customWidth="1"/>
  </cols>
  <sheetData>
    <row r="1" spans="1:13" ht="15">
      <c r="A1" s="1" t="s">
        <v>22</v>
      </c>
      <c r="B1" s="1" t="s">
        <v>23</v>
      </c>
      <c r="C1" s="1" t="s">
        <v>24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25</v>
      </c>
      <c r="L1" s="1" t="s">
        <v>26</v>
      </c>
      <c r="M1" s="1" t="s">
        <v>27</v>
      </c>
    </row>
    <row r="2" spans="1:13">
      <c r="A2" s="2" t="s">
        <v>28</v>
      </c>
      <c r="B2" s="2" t="s">
        <v>29</v>
      </c>
      <c r="C2" s="3">
        <v>0</v>
      </c>
      <c r="D2" s="3">
        <v>40.936210214328369</v>
      </c>
      <c r="E2" s="3">
        <v>39</v>
      </c>
      <c r="F2" s="3">
        <v>10.618762040975421</v>
      </c>
      <c r="G2" s="3">
        <v>18</v>
      </c>
      <c r="H2" s="3">
        <v>33</v>
      </c>
      <c r="I2" s="3">
        <v>48</v>
      </c>
      <c r="J2" s="3">
        <v>95</v>
      </c>
      <c r="K2" s="3">
        <v>10.5</v>
      </c>
      <c r="L2" s="3">
        <v>70.5</v>
      </c>
      <c r="M2" s="3">
        <v>487</v>
      </c>
    </row>
    <row r="3" spans="1:13">
      <c r="A3" s="2" t="s">
        <v>28</v>
      </c>
      <c r="B3" s="2" t="s">
        <v>30</v>
      </c>
      <c r="C3" s="3">
        <v>0</v>
      </c>
      <c r="D3" s="3">
        <v>40.868184733803723</v>
      </c>
      <c r="E3" s="3">
        <v>39</v>
      </c>
      <c r="F3" s="3">
        <v>10.394894997172232</v>
      </c>
      <c r="G3" s="3">
        <v>18</v>
      </c>
      <c r="H3" s="3">
        <v>33</v>
      </c>
      <c r="I3" s="3">
        <v>48</v>
      </c>
      <c r="J3" s="3">
        <v>70.5</v>
      </c>
      <c r="K3" s="3">
        <v>10.5</v>
      </c>
      <c r="L3" s="3">
        <v>70.5</v>
      </c>
      <c r="M3" s="3">
        <v>0</v>
      </c>
    </row>
    <row r="4" spans="1:13">
      <c r="A4" s="2" t="s">
        <v>31</v>
      </c>
      <c r="B4" s="2" t="s">
        <v>29</v>
      </c>
      <c r="C4" s="3">
        <v>0</v>
      </c>
      <c r="D4" s="3">
        <v>1362.2720576850766</v>
      </c>
      <c r="E4" s="3">
        <v>448</v>
      </c>
      <c r="F4" s="3">
        <v>3044.7658291685175</v>
      </c>
      <c r="G4" s="3">
        <v>-8019</v>
      </c>
      <c r="H4" s="3">
        <v>72</v>
      </c>
      <c r="I4" s="3">
        <v>1428</v>
      </c>
      <c r="J4" s="3">
        <v>102127</v>
      </c>
      <c r="K4" s="3">
        <v>-1962</v>
      </c>
      <c r="L4" s="3">
        <v>3462</v>
      </c>
      <c r="M4" s="3">
        <v>4729</v>
      </c>
    </row>
    <row r="5" spans="1:13">
      <c r="A5" s="2" t="s">
        <v>31</v>
      </c>
      <c r="B5" s="2" t="s">
        <v>30</v>
      </c>
      <c r="C5" s="3">
        <v>0</v>
      </c>
      <c r="D5" s="3">
        <v>933.70697396651258</v>
      </c>
      <c r="E5" s="3">
        <v>448</v>
      </c>
      <c r="F5" s="3">
        <v>1176.7653686468338</v>
      </c>
      <c r="G5" s="3">
        <v>-1962</v>
      </c>
      <c r="H5" s="3">
        <v>72</v>
      </c>
      <c r="I5" s="3">
        <v>1428</v>
      </c>
      <c r="J5" s="3">
        <v>3462</v>
      </c>
      <c r="K5" s="3">
        <v>-1962</v>
      </c>
      <c r="L5" s="3">
        <v>3462</v>
      </c>
      <c r="M5" s="3">
        <v>0</v>
      </c>
    </row>
    <row r="6" spans="1:13">
      <c r="A6" s="2" t="s">
        <v>32</v>
      </c>
      <c r="B6" s="2" t="s">
        <v>29</v>
      </c>
      <c r="C6" s="3">
        <v>0</v>
      </c>
      <c r="D6" s="3">
        <v>258.16307978146909</v>
      </c>
      <c r="E6" s="3">
        <v>180</v>
      </c>
      <c r="F6" s="3">
        <v>257.52781226517192</v>
      </c>
      <c r="G6" s="3">
        <v>0</v>
      </c>
      <c r="H6" s="3">
        <v>103</v>
      </c>
      <c r="I6" s="3">
        <v>319</v>
      </c>
      <c r="J6" s="3">
        <v>4918</v>
      </c>
      <c r="K6" s="3">
        <v>-221</v>
      </c>
      <c r="L6" s="3">
        <v>643</v>
      </c>
      <c r="M6" s="3">
        <v>3235</v>
      </c>
    </row>
    <row r="7" spans="1:13">
      <c r="A7" s="2" t="s">
        <v>32</v>
      </c>
      <c r="B7" s="2" t="s">
        <v>30</v>
      </c>
      <c r="C7" s="3">
        <v>0</v>
      </c>
      <c r="D7" s="3">
        <v>234.93930680586584</v>
      </c>
      <c r="E7" s="3">
        <v>180</v>
      </c>
      <c r="F7" s="3">
        <v>176.74993197438613</v>
      </c>
      <c r="G7" s="3">
        <v>0</v>
      </c>
      <c r="H7" s="3">
        <v>103</v>
      </c>
      <c r="I7" s="3">
        <v>319</v>
      </c>
      <c r="J7" s="3">
        <v>643</v>
      </c>
      <c r="K7" s="3">
        <v>-221</v>
      </c>
      <c r="L7" s="3">
        <v>643</v>
      </c>
      <c r="M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Table</vt:lpstr>
      <vt:lpstr>Source 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Khangtn</cp:lastModifiedBy>
  <dcterms:modified xsi:type="dcterms:W3CDTF">2026-07-09T04:16:34Z</dcterms:modified>
</cp:coreProperties>
</file>